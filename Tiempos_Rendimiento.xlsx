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13CDFBF-4293-4006-BE65-BFAA25A2FE22}" xr6:coauthVersionLast="47" xr6:coauthVersionMax="47" xr10:uidLastSave="{00000000-0000-0000-0000-000000000000}"/>
  <bookViews>
    <workbookView xWindow="-120" yWindow="-120" windowWidth="20730" windowHeight="11160" tabRatio="877" firstSheet="1" activeTab="4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7" l="1"/>
  <c r="D10" i="7"/>
  <c r="D9" i="7"/>
  <c r="D8" i="7"/>
  <c r="D7" i="7"/>
  <c r="D6" i="7"/>
  <c r="D4" i="7"/>
  <c r="D5" i="7"/>
  <c r="J3" i="2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C5" i="3"/>
</calcChain>
</file>

<file path=xl/sharedStrings.xml><?xml version="1.0" encoding="utf-8"?>
<sst xmlns="http://schemas.openxmlformats.org/spreadsheetml/2006/main" count="201" uniqueCount="77">
  <si>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</si>
  <si>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</si>
  <si>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</si>
  <si>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</si>
  <si>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</si>
  <si>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</si>
  <si>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</si>
  <si>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</si>
  <si>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</si>
  <si>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</si>
  <si>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</si>
  <si>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</si>
  <si>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</si>
  <si>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</si>
  <si>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</si>
  <si>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</si>
  <si>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</si>
  <si>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</si>
  <si>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</si>
  <si>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</si>
  <si>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</si>
  <si>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</si>
  <si>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</si>
  <si>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</si>
  <si>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</si>
  <si>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</si>
  <si>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</si>
  <si>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</si>
  <si>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</si>
  <si>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</si>
  <si>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</si>
  <si>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</si>
  <si>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</si>
  <si>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</si>
  <si>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</si>
  <si>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</si>
  <si>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</si>
  <si>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</si>
  <si>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</si>
  <si>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</si>
  <si>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</si>
  <si>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</si>
  <si>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</si>
  <si>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</si>
  <si>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</si>
  <si>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</si>
  <si>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</si>
  <si>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</si>
  <si>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</si>
  <si>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</si>
  <si>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</si>
  <si>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</si>
  <si>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</si>
  <si>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</si>
  <si>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</si>
  <si>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</si>
  <si>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</si>
  <si>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</si>
  <si>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</si>
  <si>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</si>
  <si>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</si>
  <si>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</si>
  <si>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</si>
  <si>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</si>
  <si>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</si>
  <si>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 xml:space="preserve">Si </t>
  </si>
  <si>
    <t>No</t>
  </si>
  <si>
    <t>Si</t>
  </si>
  <si>
    <t>SI</t>
  </si>
  <si>
    <t>El tiempo sube de forma constante y proporcional a n.</t>
  </si>
  <si>
    <t>Sigue la misma tendencia lineal que el iterativo sin desciaciones.</t>
  </si>
  <si>
    <t>Los tiempos son tan bajosque el crecimiento lineal no es perceptible</t>
  </si>
  <si>
    <t>La muestra es pequeña para ver la curva exponencial reflejada en el promedio</t>
  </si>
  <si>
    <t>El ruido del sistema y la velocidad de ejecución impiden ver la línea recta teórica.</t>
  </si>
  <si>
    <t>La gestión de memoria causa picos inestables que rompen la linealidad</t>
  </si>
  <si>
    <t>Al multiplicar nX10, el tiempo sube  approx 100 veces (n2)</t>
  </si>
  <si>
    <t>Muestra el mismo crecimiento cuadrático, pero con mayor lentitud por las llamadas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</si>
</sst>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  <font>
      <sz val="9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24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8.5000000000000006E-3</c:v>
                </c:pt>
                <c:pt idx="1">
                  <c:v>2.1800000000000001E-3</c:v>
                </c:pt>
                <c:pt idx="2">
                  <c:v>3.0999999999999999E-3</c:v>
                </c:pt>
                <c:pt idx="3">
                  <c:v>3.3400000000000001E-3</c:v>
                </c:pt>
                <c:pt idx="4">
                  <c:v>4.1199999999999995E-3</c:v>
                </c:pt>
                <c:pt idx="5">
                  <c:v>4.6800000000000001E-3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7.9600000000000001E-3</c:v>
                </c:pt>
                <c:pt idx="1">
                  <c:v>1.7600000000000001E-3</c:v>
                </c:pt>
                <c:pt idx="2">
                  <c:v>2.2199999999999998E-3</c:v>
                </c:pt>
                <c:pt idx="3">
                  <c:v>2.6799999999999997E-3</c:v>
                </c:pt>
                <c:pt idx="4">
                  <c:v>3.0199999999999997E-3</c:v>
                </c:pt>
                <c:pt idx="5">
                  <c:v>3.2199999999999998E-3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1.5140000000000001E-2</c:v>
                </c:pt>
                <c:pt idx="1">
                  <c:v>3.6600000000000001E-3</c:v>
                </c:pt>
                <c:pt idx="2">
                  <c:v>2.8600000000000001E-3</c:v>
                </c:pt>
                <c:pt idx="3">
                  <c:v>3.4399999999999999E-3</c:v>
                </c:pt>
                <c:pt idx="4">
                  <c:v>3.5000000000000005E-3</c:v>
                </c:pt>
                <c:pt idx="5">
                  <c:v>4.5199999999999997E-3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7.7200000000000003E-3</c:v>
                </c:pt>
                <c:pt idx="1">
                  <c:v>1.9400000000000001E-2</c:v>
                </c:pt>
                <c:pt idx="2">
                  <c:v>0.43132000000000004</c:v>
                </c:pt>
                <c:pt idx="3">
                  <c:v>0.35396000000000005</c:v>
                </c:pt>
                <c:pt idx="4">
                  <c:v>0.81333999999999995</c:v>
                </c:pt>
                <c:pt idx="5">
                  <c:v>11.590440000000001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1.7759999999999998E-2</c:v>
                </c:pt>
                <c:pt idx="1">
                  <c:v>5.2180000000000004E-2</c:v>
                </c:pt>
                <c:pt idx="2">
                  <c:v>0.15825999999999998</c:v>
                </c:pt>
                <c:pt idx="3">
                  <c:v>0.20657999999999999</c:v>
                </c:pt>
                <c:pt idx="4">
                  <c:v>0.53181999999999996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2.316E-2</c:v>
                </c:pt>
                <c:pt idx="1">
                  <c:v>1.0226999999999999</c:v>
                </c:pt>
                <c:pt idx="2">
                  <c:v>3.3000000000000002E-2</c:v>
                </c:pt>
                <c:pt idx="3">
                  <c:v>0.39966000000000002</c:v>
                </c:pt>
                <c:pt idx="4">
                  <c:v>3.1636200000000003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0.58704000000000001</c:v>
                </c:pt>
                <c:pt idx="1">
                  <c:v>11.767520000000001</c:v>
                </c:pt>
                <c:pt idx="2">
                  <c:v>3.4093200000000001</c:v>
                </c:pt>
                <c:pt idx="3">
                  <c:v>66.967659999999995</c:v>
                </c:pt>
                <c:pt idx="4">
                  <c:v>342.93135999999993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0.33864</c:v>
                </c:pt>
                <c:pt idx="1">
                  <c:v>3.2251199999999995</c:v>
                </c:pt>
                <c:pt idx="2">
                  <c:v>16.937559999999998</c:v>
                </c:pt>
                <c:pt idx="3">
                  <c:v>76.168500000000009</c:v>
                </c:pt>
                <c:pt idx="4">
                  <c:v>561.89915999999994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>
      <selection activeCell="C15" sqref="C15:D15"/>
    </sheetView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5" t="s">
        <v>0</v>
      </c>
      <c r="C2" s="35"/>
      <c r="D2" s="35"/>
    </row>
    <row r="3" spans="2:4" ht="21.75" customHeight="1" x14ac:dyDescent="0.25">
      <c r="B3" s="36" t="s">
        <v>1</v>
      </c>
      <c r="C3" s="36"/>
      <c r="D3" s="36"/>
    </row>
    <row r="4" spans="2:4" ht="9.75" customHeight="1" x14ac:dyDescent="0.25"/>
    <row r="5" spans="2:4" ht="27.75" customHeight="1" x14ac:dyDescent="0.25">
      <c r="B5" s="30" t="s">
        <v>2</v>
      </c>
      <c r="C5" s="34" t="s">
        <v>3</v>
      </c>
      <c r="D5" s="34"/>
    </row>
    <row r="6" spans="2:4" ht="60" customHeight="1" x14ac:dyDescent="0.25">
      <c r="B6" s="30"/>
      <c r="C6" s="32"/>
      <c r="D6" s="32"/>
    </row>
    <row r="7" spans="2:4" ht="6" customHeight="1" x14ac:dyDescent="0.25"/>
    <row r="8" spans="2:4" ht="27.75" customHeight="1" x14ac:dyDescent="0.25">
      <c r="B8" s="30" t="s">
        <v>4</v>
      </c>
      <c r="C8" s="31" t="s">
        <v>5</v>
      </c>
      <c r="D8" s="31"/>
    </row>
    <row r="9" spans="2:4" ht="117.75" customHeight="1" x14ac:dyDescent="0.25">
      <c r="B9" s="30"/>
      <c r="C9" s="32"/>
      <c r="D9" s="32"/>
    </row>
    <row r="10" spans="2:4" ht="6" customHeight="1" x14ac:dyDescent="0.25"/>
    <row r="11" spans="2:4" ht="27.75" customHeight="1" x14ac:dyDescent="0.25">
      <c r="B11" s="30" t="s">
        <v>6</v>
      </c>
      <c r="C11" s="31" t="s">
        <v>7</v>
      </c>
      <c r="D11" s="31"/>
    </row>
    <row r="12" spans="2:4" ht="81.75" customHeight="1" x14ac:dyDescent="0.25">
      <c r="B12" s="30"/>
      <c r="C12" s="32"/>
      <c r="D12" s="32"/>
    </row>
    <row r="13" spans="2:4" ht="6" customHeight="1" x14ac:dyDescent="0.25"/>
    <row r="14" spans="2:4" ht="27.75" customHeight="1" x14ac:dyDescent="0.25">
      <c r="B14" s="30" t="s">
        <v>8</v>
      </c>
      <c r="C14" s="33" t="s">
        <v>9</v>
      </c>
      <c r="D14" s="33"/>
    </row>
    <row r="15" spans="2:4" ht="99.75" customHeight="1" x14ac:dyDescent="0.25">
      <c r="B15" s="30"/>
      <c r="C15" s="32"/>
      <c r="D15" s="32"/>
    </row>
    <row r="16" spans="2:4" ht="6" customHeight="1" x14ac:dyDescent="0.25"/>
    <row r="17" spans="2:4" ht="27.75" customHeight="1" x14ac:dyDescent="0.25">
      <c r="B17" s="30" t="s">
        <v>10</v>
      </c>
      <c r="C17" s="34" t="s">
        <v>11</v>
      </c>
      <c r="D17" s="34"/>
    </row>
    <row r="18" spans="2:4" ht="99.75" customHeight="1" x14ac:dyDescent="0.25">
      <c r="B18" s="30"/>
      <c r="C18" s="32"/>
      <c r="D18" s="32"/>
    </row>
    <row r="19" spans="2:4" ht="6" customHeight="1" x14ac:dyDescent="0.25"/>
    <row r="20" spans="2:4" ht="27.75" customHeight="1" x14ac:dyDescent="0.25">
      <c r="B20" s="30" t="s">
        <v>12</v>
      </c>
      <c r="C20" s="31" t="s">
        <v>13</v>
      </c>
      <c r="D20" s="31"/>
    </row>
    <row r="21" spans="2:4" ht="81.75" customHeight="1" x14ac:dyDescent="0.25">
      <c r="B21" s="30"/>
      <c r="C21" s="32"/>
      <c r="D21" s="32"/>
    </row>
    <row r="22" spans="2:4" ht="6" customHeight="1" x14ac:dyDescent="0.25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topLeftCell="B1" zoomScale="106" zoomScaleNormal="106" workbookViewId="0">
      <pane ySplit="2" topLeftCell="A27" activePane="bottomLeft" state="frozen"/>
      <selection pane="bottomLeft" activeCell="E38" sqref="E38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7" t="s">
        <v>14</v>
      </c>
      <c r="C1" s="37"/>
      <c r="D1" s="37"/>
      <c r="E1" s="37"/>
      <c r="F1" s="37"/>
      <c r="G1" s="37"/>
      <c r="H1" s="37"/>
      <c r="I1" s="37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8.0000000000000002E-3</v>
      </c>
      <c r="F3" s="6">
        <v>5.0000000000000001E-3</v>
      </c>
      <c r="G3" s="6">
        <v>1.21E-2</v>
      </c>
      <c r="H3" s="6">
        <v>8.8999999999999999E-3</v>
      </c>
      <c r="I3" s="6">
        <v>8.5000000000000006E-3</v>
      </c>
      <c r="J3" s="7">
        <f>AVERAGE(E3:I3)</f>
        <v>8.5000000000000006E-3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2.5999999999999999E-3</v>
      </c>
      <c r="F4" s="6">
        <v>1.6000000000000001E-3</v>
      </c>
      <c r="G4" s="6">
        <v>2.0999999999999999E-3</v>
      </c>
      <c r="H4" s="6">
        <v>2.3E-3</v>
      </c>
      <c r="I4" s="6">
        <v>2.3E-3</v>
      </c>
      <c r="J4" s="7">
        <f t="shared" ref="J3:J14" si="0">AVERAGE(E4:I4)</f>
        <v>2.1800000000000001E-3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4.7000000000000002E-3</v>
      </c>
      <c r="F5" s="6">
        <v>2.3E-3</v>
      </c>
      <c r="G5" s="6">
        <v>2.8E-3</v>
      </c>
      <c r="H5" s="6">
        <v>2.3E-3</v>
      </c>
      <c r="I5" s="6">
        <v>3.3999999999999998E-3</v>
      </c>
      <c r="J5" s="7">
        <f t="shared" si="0"/>
        <v>3.0999999999999999E-3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3.8999999999999998E-3</v>
      </c>
      <c r="F6" s="6">
        <v>3.0999999999999999E-3</v>
      </c>
      <c r="G6" s="6">
        <v>3.0999999999999999E-3</v>
      </c>
      <c r="H6" s="6">
        <v>2.8999999999999998E-3</v>
      </c>
      <c r="I6" s="6">
        <v>3.7000000000000002E-3</v>
      </c>
      <c r="J6" s="7">
        <f t="shared" si="0"/>
        <v>3.3400000000000001E-3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4.7999999999999996E-3</v>
      </c>
      <c r="F7" s="6">
        <v>4.4999999999999997E-3</v>
      </c>
      <c r="G7" s="6">
        <v>3.5999999999999999E-3</v>
      </c>
      <c r="H7" s="6">
        <v>2.8999999999999998E-3</v>
      </c>
      <c r="I7" s="6">
        <v>4.7999999999999996E-3</v>
      </c>
      <c r="J7" s="7">
        <f t="shared" si="0"/>
        <v>4.1199999999999995E-3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5.7000000000000002E-3</v>
      </c>
      <c r="F8" s="6">
        <v>3.8E-3</v>
      </c>
      <c r="G8" s="6">
        <v>4.8999999999999998E-3</v>
      </c>
      <c r="H8" s="6">
        <v>5.1000000000000004E-3</v>
      </c>
      <c r="I8" s="6">
        <v>3.8999999999999998E-3</v>
      </c>
      <c r="J8" s="7">
        <f t="shared" si="0"/>
        <v>4.6800000000000001E-3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0.01</v>
      </c>
      <c r="F9" s="6">
        <v>4.4000000000000003E-3</v>
      </c>
      <c r="G9" s="6">
        <v>8.5000000000000006E-3</v>
      </c>
      <c r="H9" s="6">
        <v>8.8999999999999999E-3</v>
      </c>
      <c r="I9" s="6">
        <v>8.0000000000000002E-3</v>
      </c>
      <c r="J9" s="7">
        <f t="shared" si="0"/>
        <v>7.9600000000000001E-3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6">
        <v>2.2000000000000001E-3</v>
      </c>
      <c r="F10" s="6">
        <v>1.4E-3</v>
      </c>
      <c r="G10" s="6">
        <v>1.5E-3</v>
      </c>
      <c r="H10" s="6">
        <v>1.6999999999999999E-3</v>
      </c>
      <c r="I10" s="6">
        <v>2E-3</v>
      </c>
      <c r="J10" s="7">
        <f t="shared" si="0"/>
        <v>1.7600000000000001E-3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6">
        <v>2.5000000000000001E-3</v>
      </c>
      <c r="F11" s="6">
        <v>1.6999999999999999E-3</v>
      </c>
      <c r="G11" s="6">
        <v>2E-3</v>
      </c>
      <c r="H11" s="6">
        <v>1.9E-3</v>
      </c>
      <c r="I11" s="6">
        <v>3.0000000000000001E-3</v>
      </c>
      <c r="J11" s="7">
        <f t="shared" si="0"/>
        <v>2.2199999999999998E-3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6">
        <v>2.5999999999999999E-3</v>
      </c>
      <c r="F12" s="6">
        <v>3.5000000000000001E-3</v>
      </c>
      <c r="G12" s="6">
        <v>2.2000000000000001E-3</v>
      </c>
      <c r="H12" s="6">
        <v>2.0999999999999999E-3</v>
      </c>
      <c r="I12" s="6">
        <v>3.0000000000000001E-3</v>
      </c>
      <c r="J12" s="7">
        <f t="shared" si="0"/>
        <v>2.6799999999999997E-3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6">
        <v>3.2000000000000002E-3</v>
      </c>
      <c r="F13" s="6">
        <v>2.8999999999999998E-3</v>
      </c>
      <c r="G13" s="6">
        <v>3.3E-3</v>
      </c>
      <c r="H13" s="6">
        <v>2.5000000000000001E-3</v>
      </c>
      <c r="I13" s="6">
        <v>3.2000000000000002E-3</v>
      </c>
      <c r="J13" s="7">
        <f t="shared" si="0"/>
        <v>3.0199999999999997E-3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4.7000000000000002E-3</v>
      </c>
      <c r="F14" s="6">
        <v>2.2000000000000001E-3</v>
      </c>
      <c r="G14" s="6">
        <v>3.0999999999999999E-3</v>
      </c>
      <c r="H14" s="6">
        <v>3.0000000000000001E-3</v>
      </c>
      <c r="I14" s="6">
        <v>3.0999999999999999E-3</v>
      </c>
      <c r="J14" s="7">
        <f t="shared" si="0"/>
        <v>3.2199999999999998E-3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1.2699999999999999E-2</v>
      </c>
      <c r="F16" s="6">
        <v>2.1000000000000001E-2</v>
      </c>
      <c r="G16" s="6">
        <v>1.1299999999999999E-2</v>
      </c>
      <c r="H16" s="6">
        <v>1.9E-2</v>
      </c>
      <c r="I16" s="6">
        <v>1.17E-2</v>
      </c>
      <c r="J16" s="7">
        <f t="shared" ref="J16:J27" si="1">AVERAGE(E16:I16)</f>
        <v>1.5140000000000001E-2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5.1999999999999998E-3</v>
      </c>
      <c r="F17" s="6">
        <v>2E-3</v>
      </c>
      <c r="G17" s="6">
        <v>3.2000000000000002E-3</v>
      </c>
      <c r="H17" s="6">
        <v>3.3E-3</v>
      </c>
      <c r="I17" s="6">
        <v>4.5999999999999999E-3</v>
      </c>
      <c r="J17" s="7">
        <f t="shared" si="1"/>
        <v>3.6600000000000001E-3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4.1999999999999997E-3</v>
      </c>
      <c r="F18" s="6">
        <v>2.0999999999999999E-3</v>
      </c>
      <c r="G18" s="6">
        <v>2.5999999999999999E-3</v>
      </c>
      <c r="H18" s="6">
        <v>2.3999999999999998E-3</v>
      </c>
      <c r="I18" s="6">
        <v>3.0000000000000001E-3</v>
      </c>
      <c r="J18" s="7">
        <f t="shared" si="1"/>
        <v>2.8600000000000001E-3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3.5999999999999999E-3</v>
      </c>
      <c r="F19" s="6">
        <v>3.2000000000000002E-3</v>
      </c>
      <c r="G19" s="6">
        <v>4.0000000000000001E-3</v>
      </c>
      <c r="H19" s="6">
        <v>3.0999999999999999E-3</v>
      </c>
      <c r="I19" s="6">
        <v>3.3E-3</v>
      </c>
      <c r="J19" s="7">
        <f t="shared" si="1"/>
        <v>3.4399999999999999E-3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3.3999999999999998E-3</v>
      </c>
      <c r="F20" s="6">
        <v>4.0000000000000001E-3</v>
      </c>
      <c r="G20" s="6">
        <v>4.4999999999999997E-3</v>
      </c>
      <c r="H20" s="6">
        <v>3.0000000000000001E-3</v>
      </c>
      <c r="I20" s="6">
        <v>2.5999999999999999E-3</v>
      </c>
      <c r="J20" s="7">
        <f t="shared" si="1"/>
        <v>3.5000000000000005E-3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5.1999999999999998E-3</v>
      </c>
      <c r="F21" s="6">
        <v>4.3E-3</v>
      </c>
      <c r="G21" s="6">
        <v>4.1000000000000003E-3</v>
      </c>
      <c r="H21" s="6">
        <v>4.3E-3</v>
      </c>
      <c r="I21" s="6">
        <v>4.7000000000000002E-3</v>
      </c>
      <c r="J21" s="7">
        <f t="shared" si="1"/>
        <v>4.5199999999999997E-3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8.8000000000000005E-3</v>
      </c>
      <c r="F22" s="6">
        <v>6.0000000000000001E-3</v>
      </c>
      <c r="G22" s="6">
        <v>8.0999999999999996E-3</v>
      </c>
      <c r="H22" s="6">
        <v>9.1999999999999998E-3</v>
      </c>
      <c r="I22" s="6">
        <v>6.4999999999999997E-3</v>
      </c>
      <c r="J22" s="7">
        <f t="shared" si="1"/>
        <v>7.7200000000000003E-3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2.7099999999999999E-2</v>
      </c>
      <c r="F23" s="6">
        <v>1.44E-2</v>
      </c>
      <c r="G23" s="6">
        <v>1.54E-2</v>
      </c>
      <c r="H23" s="6">
        <v>1.61E-2</v>
      </c>
      <c r="I23" s="6">
        <v>2.4E-2</v>
      </c>
      <c r="J23" s="7">
        <f t="shared" si="1"/>
        <v>1.9400000000000001E-2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0.84809999999999997</v>
      </c>
      <c r="F24" s="6">
        <v>0.18640000000000001</v>
      </c>
      <c r="G24" s="6">
        <v>0.25540000000000002</v>
      </c>
      <c r="H24" s="6">
        <v>0.5978</v>
      </c>
      <c r="I24" s="6">
        <v>0.26889999999999997</v>
      </c>
      <c r="J24" s="7">
        <f t="shared" si="1"/>
        <v>0.43132000000000004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0.58120000000000005</v>
      </c>
      <c r="F25" s="6">
        <v>0.32350000000000001</v>
      </c>
      <c r="G25" s="6">
        <v>0.30630000000000002</v>
      </c>
      <c r="H25" s="6">
        <v>0.31940000000000002</v>
      </c>
      <c r="I25" s="6">
        <v>0.2394</v>
      </c>
      <c r="J25" s="7">
        <f t="shared" si="1"/>
        <v>0.35396000000000005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0.97450000000000003</v>
      </c>
      <c r="F26" s="6">
        <v>0.83279999999999998</v>
      </c>
      <c r="G26" s="6">
        <v>0.78420000000000001</v>
      </c>
      <c r="H26" s="6">
        <v>0.67090000000000005</v>
      </c>
      <c r="I26" s="6">
        <v>0.80430000000000001</v>
      </c>
      <c r="J26" s="7">
        <f t="shared" si="1"/>
        <v>0.81333999999999995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14.808</v>
      </c>
      <c r="F27" s="6">
        <v>8.7942</v>
      </c>
      <c r="G27" s="6">
        <v>11.32</v>
      </c>
      <c r="H27" s="6">
        <v>16.932099999999998</v>
      </c>
      <c r="I27" s="6">
        <v>6.0979000000000001</v>
      </c>
      <c r="J27" s="7">
        <f t="shared" si="1"/>
        <v>11.590440000000001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1.18E-2</v>
      </c>
      <c r="F29" s="6">
        <v>4.0500000000000001E-2</v>
      </c>
      <c r="G29" s="6">
        <v>1.44E-2</v>
      </c>
      <c r="H29" s="6">
        <v>1.24E-2</v>
      </c>
      <c r="I29" s="6">
        <v>9.7000000000000003E-3</v>
      </c>
      <c r="J29" s="7">
        <f t="shared" ref="J29:J38" si="2">AVERAGE(E29:I29)</f>
        <v>1.7759999999999998E-2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3.8199999999999998E-2</v>
      </c>
      <c r="F30" s="6">
        <v>0.1399</v>
      </c>
      <c r="G30" s="6">
        <v>3.5000000000000003E-2</v>
      </c>
      <c r="H30" s="6">
        <v>1.6799999999999999E-2</v>
      </c>
      <c r="I30" s="6">
        <v>3.1E-2</v>
      </c>
      <c r="J30" s="7">
        <f t="shared" si="2"/>
        <v>5.2180000000000004E-2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5.67E-2</v>
      </c>
      <c r="F31" s="6">
        <v>0.56999999999999995</v>
      </c>
      <c r="G31" s="6">
        <v>5.8299999999999998E-2</v>
      </c>
      <c r="H31" s="6">
        <v>7.17E-2</v>
      </c>
      <c r="I31" s="6">
        <v>3.4599999999999999E-2</v>
      </c>
      <c r="J31" s="7">
        <f t="shared" si="2"/>
        <v>0.15825999999999998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0.2515</v>
      </c>
      <c r="F32" s="6">
        <v>0.1399</v>
      </c>
      <c r="G32" s="6">
        <v>0.32569999999999999</v>
      </c>
      <c r="H32" s="6">
        <v>0.16289999999999999</v>
      </c>
      <c r="I32" s="6">
        <v>0.15290000000000001</v>
      </c>
      <c r="J32" s="7">
        <f t="shared" si="2"/>
        <v>0.20657999999999999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0.33860000000000001</v>
      </c>
      <c r="F33" s="6">
        <v>0.56999999999999995</v>
      </c>
      <c r="G33" s="6">
        <v>0.68320000000000003</v>
      </c>
      <c r="H33" s="6">
        <v>0.64810000000000001</v>
      </c>
      <c r="I33" s="6">
        <v>0.41920000000000002</v>
      </c>
      <c r="J33" s="7">
        <f t="shared" si="2"/>
        <v>0.53181999999999996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3.9600000000000003E-2</v>
      </c>
      <c r="F34" s="6">
        <v>2.6499999999999999E-2</v>
      </c>
      <c r="G34" s="6">
        <v>1.6299999999999999E-2</v>
      </c>
      <c r="H34" s="6">
        <v>1.9300000000000001E-2</v>
      </c>
      <c r="I34" s="6">
        <v>1.41E-2</v>
      </c>
      <c r="J34" s="7">
        <f t="shared" si="2"/>
        <v>2.316E-2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0.1759</v>
      </c>
      <c r="F35" s="6">
        <v>0.375</v>
      </c>
      <c r="G35" s="6">
        <v>0.16520000000000001</v>
      </c>
      <c r="H35" s="6">
        <v>4.2302</v>
      </c>
      <c r="I35" s="6">
        <v>0.16719999999999999</v>
      </c>
      <c r="J35" s="7">
        <f t="shared" si="2"/>
        <v>1.0226999999999999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2.5499999999999998E-2</v>
      </c>
      <c r="F36" s="6">
        <v>2.6499999999999999E-2</v>
      </c>
      <c r="G36" s="6">
        <v>4.5199999999999997E-2</v>
      </c>
      <c r="H36" s="6">
        <v>4.0800000000000003E-2</v>
      </c>
      <c r="I36" s="6">
        <v>2.7E-2</v>
      </c>
      <c r="J36" s="7">
        <f t="shared" si="2"/>
        <v>3.3000000000000002E-2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0.40510000000000002</v>
      </c>
      <c r="F37" s="6">
        <v>0.375</v>
      </c>
      <c r="G37" s="6">
        <v>0.41810000000000003</v>
      </c>
      <c r="H37" s="6">
        <v>0.39190000000000003</v>
      </c>
      <c r="I37" s="6">
        <v>0.40820000000000001</v>
      </c>
      <c r="J37" s="7">
        <f t="shared" si="2"/>
        <v>0.39966000000000002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10.530900000000001</v>
      </c>
      <c r="F38" s="6">
        <v>0.2157</v>
      </c>
      <c r="G38" s="6">
        <v>0.58689999999999998</v>
      </c>
      <c r="H38" s="6">
        <v>4.0846</v>
      </c>
      <c r="I38" s="6">
        <v>0.4</v>
      </c>
      <c r="J38" s="7">
        <f t="shared" si="2"/>
        <v>3.1636200000000003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0.3251</v>
      </c>
      <c r="F40" s="6">
        <v>0.74790000000000001</v>
      </c>
      <c r="G40" s="6">
        <v>0.78120000000000001</v>
      </c>
      <c r="H40" s="6">
        <v>0.311</v>
      </c>
      <c r="I40" s="6">
        <v>0.77</v>
      </c>
      <c r="J40" s="7">
        <f t="shared" ref="J40:J49" si="3">AVERAGE(E40:I40)</f>
        <v>0.58704000000000001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7.6360999999999999</v>
      </c>
      <c r="F41" s="6">
        <v>13.8423</v>
      </c>
      <c r="G41" s="6">
        <v>9.6004000000000005</v>
      </c>
      <c r="H41" s="6">
        <v>12.898400000000001</v>
      </c>
      <c r="I41" s="6">
        <v>14.8604</v>
      </c>
      <c r="J41" s="7">
        <f t="shared" si="3"/>
        <v>11.767520000000001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3.2993000000000001</v>
      </c>
      <c r="F42" s="6">
        <v>2.9563999999999999</v>
      </c>
      <c r="G42" s="6">
        <v>1.8808</v>
      </c>
      <c r="H42" s="6">
        <v>1.8976</v>
      </c>
      <c r="I42" s="6">
        <v>7.0125000000000002</v>
      </c>
      <c r="J42" s="7">
        <f t="shared" si="3"/>
        <v>3.4093200000000001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85.988399999999999</v>
      </c>
      <c r="F43" s="6">
        <v>57.214199999999998</v>
      </c>
      <c r="G43" s="6">
        <v>79.617099999999994</v>
      </c>
      <c r="H43" s="6">
        <v>52.701300000000003</v>
      </c>
      <c r="I43" s="6">
        <v>59.317300000000003</v>
      </c>
      <c r="J43" s="7">
        <f t="shared" si="3"/>
        <v>66.967659999999995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450.37709999999998</v>
      </c>
      <c r="F44" s="6">
        <v>190.5788</v>
      </c>
      <c r="G44" s="6">
        <v>635.64269999999999</v>
      </c>
      <c r="H44" s="6">
        <v>255.79150000000001</v>
      </c>
      <c r="I44" s="6">
        <v>182.26669999999999</v>
      </c>
      <c r="J44" s="7">
        <f t="shared" si="3"/>
        <v>342.93135999999993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0.30530000000000002</v>
      </c>
      <c r="F45" s="6">
        <v>0.22639999999999999</v>
      </c>
      <c r="G45" s="6">
        <v>0.40189999999999998</v>
      </c>
      <c r="H45" s="6">
        <v>0.4219</v>
      </c>
      <c r="I45" s="6">
        <v>0.3377</v>
      </c>
      <c r="J45" s="7">
        <f t="shared" si="3"/>
        <v>0.33864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2.0851000000000002</v>
      </c>
      <c r="F46" s="6">
        <v>1.8669</v>
      </c>
      <c r="G46" s="6">
        <v>2.1964999999999999</v>
      </c>
      <c r="H46" s="6">
        <v>8.3081999999999994</v>
      </c>
      <c r="I46" s="6">
        <v>1.6689000000000001</v>
      </c>
      <c r="J46" s="7">
        <f t="shared" si="3"/>
        <v>3.2251199999999995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20.607299999999999</v>
      </c>
      <c r="F47" s="6">
        <v>12.6136</v>
      </c>
      <c r="G47" s="6">
        <v>26.146699999999999</v>
      </c>
      <c r="H47" s="6">
        <v>14.492800000000001</v>
      </c>
      <c r="I47" s="6">
        <v>10.827400000000001</v>
      </c>
      <c r="J47" s="7">
        <f t="shared" si="3"/>
        <v>16.937559999999998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175.7527</v>
      </c>
      <c r="F48" s="6">
        <v>58.244399999999999</v>
      </c>
      <c r="G48" s="6">
        <v>56.999200000000002</v>
      </c>
      <c r="H48" s="6">
        <v>46.716500000000003</v>
      </c>
      <c r="I48" s="6">
        <v>43.1297</v>
      </c>
      <c r="J48" s="7">
        <f t="shared" si="3"/>
        <v>76.168500000000009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944.99260000000004</v>
      </c>
      <c r="F49" s="6">
        <v>168.31190000000001</v>
      </c>
      <c r="G49" s="6">
        <v>1300.1351</v>
      </c>
      <c r="H49" s="6">
        <v>204.94380000000001</v>
      </c>
      <c r="I49" s="6">
        <v>191.11240000000001</v>
      </c>
      <c r="J49" s="7">
        <f t="shared" si="3"/>
        <v>561.89915999999994</v>
      </c>
    </row>
    <row r="52" spans="2:10" x14ac:dyDescent="0.25">
      <c r="B52" s="38" t="s">
        <v>30</v>
      </c>
      <c r="C52" s="38"/>
      <c r="D52" s="38"/>
      <c r="E52" s="38"/>
      <c r="F52" s="38"/>
      <c r="G52" s="38"/>
      <c r="H52" s="38"/>
      <c r="I52" s="38"/>
      <c r="J52" s="38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="71" zoomScaleNormal="71" workbookViewId="0">
      <selection activeCell="AD19" sqref="AD19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7" t="s">
        <v>31</v>
      </c>
      <c r="C1" s="37"/>
      <c r="D1" s="37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8.5000000000000006E-3</v>
      </c>
      <c r="D5" s="14">
        <f>AVERAGEIFS('1. Datos_Crudos'!$J:$J,'1. Datos_Crudos'!$B:$B,"A1 - Factorial",'1. Datos_Crudos'!$C:$C,"Recursivo",'1. Datos_Crudos'!$D:$D,B5)</f>
        <v>7.9600000000000001E-3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2.1800000000000001E-3</v>
      </c>
      <c r="D6" s="17">
        <f>AVERAGEIFS('1. Datos_Crudos'!$J:$J,'1. Datos_Crudos'!$B:$B,"A1 - Factorial",'1. Datos_Crudos'!$C:$C,"Recursivo",'1. Datos_Crudos'!$D:$D,B6)</f>
        <v>1.7600000000000001E-3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3.0999999999999999E-3</v>
      </c>
      <c r="D7" s="14">
        <f>AVERAGEIFS('1. Datos_Crudos'!$J:$J,'1. Datos_Crudos'!$B:$B,"A1 - Factorial",'1. Datos_Crudos'!$C:$C,"Recursivo",'1. Datos_Crudos'!$D:$D,B7)</f>
        <v>2.2199999999999998E-3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3.3400000000000001E-3</v>
      </c>
      <c r="D8" s="17">
        <f>AVERAGEIFS('1. Datos_Crudos'!$J:$J,'1. Datos_Crudos'!$B:$B,"A1 - Factorial",'1. Datos_Crudos'!$C:$C,"Recursivo",'1. Datos_Crudos'!$D:$D,B8)</f>
        <v>2.6799999999999997E-3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4.1199999999999995E-3</v>
      </c>
      <c r="D9" s="14">
        <f>AVERAGEIFS('1. Datos_Crudos'!$J:$J,'1. Datos_Crudos'!$B:$B,"A1 - Factorial",'1. Datos_Crudos'!$C:$C,"Recursivo",'1. Datos_Crudos'!$D:$D,B9)</f>
        <v>3.0199999999999997E-3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4.6800000000000001E-3</v>
      </c>
      <c r="D10" s="17">
        <f>AVERAGEIFS('1. Datos_Crudos'!$J:$J,'1. Datos_Crudos'!$B:$B,"A1 - Factorial",'1. Datos_Crudos'!$C:$C,"Recursivo",'1. Datos_Crudos'!$D:$D,B10)</f>
        <v>3.2199999999999998E-3</v>
      </c>
    </row>
    <row r="12" spans="2:4" ht="39.75" customHeight="1" x14ac:dyDescent="0.25">
      <c r="B12" s="39" t="s">
        <v>37</v>
      </c>
      <c r="C12" s="39"/>
      <c r="D12" s="39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="80" zoomScaleNormal="8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7" t="s">
        <v>38</v>
      </c>
      <c r="C1" s="37"/>
      <c r="D1" s="37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1.5140000000000001E-2</v>
      </c>
      <c r="D5" s="19">
        <f>AVERAGEIFS('1. Datos_Crudos'!$J:$J,'1. Datos_Crudos'!$B:$B,"A2 - Fibonacci",'1. Datos_Crudos'!$C:$C,"Recursivo",'1. Datos_Crudos'!$D:$D,B5)</f>
        <v>7.7200000000000003E-3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3.6600000000000001E-3</v>
      </c>
      <c r="D6" s="20">
        <f>AVERAGEIFS('1. Datos_Crudos'!$J:$J,'1. Datos_Crudos'!$B:$B,"A2 - Fibonacci",'1. Datos_Crudos'!$C:$C,"Recursivo",'1. Datos_Crudos'!$D:$D,B6)</f>
        <v>1.9400000000000001E-2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2.8600000000000001E-3</v>
      </c>
      <c r="D7" s="19">
        <f>AVERAGEIFS('1. Datos_Crudos'!$J:$J,'1. Datos_Crudos'!$B:$B,"A2 - Fibonacci",'1. Datos_Crudos'!$C:$C,"Recursivo",'1. Datos_Crudos'!$D:$D,B7)</f>
        <v>0.43132000000000004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3.4399999999999999E-3</v>
      </c>
      <c r="D8" s="20">
        <f>AVERAGEIFS('1. Datos_Crudos'!$J:$J,'1. Datos_Crudos'!$B:$B,"A2 - Fibonacci",'1. Datos_Crudos'!$C:$C,"Recursivo",'1. Datos_Crudos'!$D:$D,B8)</f>
        <v>0.35396000000000005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3.5000000000000005E-3</v>
      </c>
      <c r="D9" s="19">
        <f>AVERAGEIFS('1. Datos_Crudos'!$J:$J,'1. Datos_Crudos'!$B:$B,"A2 - Fibonacci",'1. Datos_Crudos'!$C:$C,"Recursivo",'1. Datos_Crudos'!$D:$D,B9)</f>
        <v>0.81333999999999995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4.5199999999999997E-3</v>
      </c>
      <c r="D10" s="20">
        <f>AVERAGEIFS('1. Datos_Crudos'!$J:$J,'1. Datos_Crudos'!$B:$B,"A2 - Fibonacci",'1. Datos_Crudos'!$C:$C,"Recursivo",'1. Datos_Crudos'!$D:$D,B10)</f>
        <v>11.590440000000001</v>
      </c>
    </row>
    <row r="12" spans="2:4" ht="39.75" customHeight="1" x14ac:dyDescent="0.25">
      <c r="B12" s="39" t="s">
        <v>41</v>
      </c>
      <c r="C12" s="39"/>
      <c r="D12" s="39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abSelected="1" zoomScale="80" zoomScaleNormal="80" workbookViewId="0">
      <selection activeCell="D6" sqref="D6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7" t="s">
        <v>42</v>
      </c>
      <c r="C1" s="37"/>
      <c r="D1" s="37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1.7759999999999998E-2</v>
      </c>
      <c r="D5" s="14">
        <f>AVERAGEIFS('1. Datos_Crudos'!$J:$J,'1. Datos_Crudos'!$B:$B,"A3 - Busqueda Lineal",'1. Datos_Crudos'!$C:$C,"Recursivo",'1. Datos_Crudos'!$D:$D,B5)</f>
        <v>2.316E-2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5.2180000000000004E-2</v>
      </c>
      <c r="D6" s="17">
        <f>AVERAGEIFS('1. Datos_Crudos'!$J:$J,'1. Datos_Crudos'!$B:$B,"A3 - Busqueda Lineal",'1. Datos_Crudos'!$C:$C,"Recursivo",'1. Datos_Crudos'!$D:$D,B6)</f>
        <v>1.0226999999999999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0.15825999999999998</v>
      </c>
      <c r="D7" s="14">
        <f>AVERAGEIFS('1. Datos_Crudos'!$J:$J,'1. Datos_Crudos'!$B:$B,"A3 - Busqueda Lineal",'1. Datos_Crudos'!$C:$C,"Recursivo",'1. Datos_Crudos'!$D:$D,B7)</f>
        <v>3.3000000000000002E-2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0.20657999999999999</v>
      </c>
      <c r="D8" s="17">
        <f>AVERAGEIFS('1. Datos_Crudos'!$J:$J,'1. Datos_Crudos'!$B:$B,"A3 - Busqueda Lineal",'1. Datos_Crudos'!$C:$C,"Recursivo",'1. Datos_Crudos'!$D:$D,B8)</f>
        <v>0.39966000000000002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0.53181999999999996</v>
      </c>
      <c r="D9" s="14">
        <f>AVERAGEIFS('1. Datos_Crudos'!$J:$J,'1. Datos_Crudos'!$B:$B,"A3 - Busqueda Lineal",'1. Datos_Crudos'!$C:$C,"Recursivo",'1. Datos_Crudos'!$D:$D,B9)</f>
        <v>3.1636200000000003</v>
      </c>
    </row>
    <row r="11" spans="2:4" ht="39.75" customHeight="1" x14ac:dyDescent="0.25">
      <c r="B11" s="39" t="s">
        <v>43</v>
      </c>
      <c r="C11" s="39"/>
      <c r="D11" s="39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="55" zoomScaleNormal="55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7" t="s">
        <v>44</v>
      </c>
      <c r="C1" s="37"/>
      <c r="D1" s="37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0.58704000000000001</v>
      </c>
      <c r="D5" s="14">
        <f>AVERAGEIFS('1. Datos_Crudos'!$J:$J,'1. Datos_Crudos'!$B:$B,"A4 - Burbuja",'1. Datos_Crudos'!$C:$C,"Recursivo",'1. Datos_Crudos'!$D:$D,B5)</f>
        <v>0.33864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11.767520000000001</v>
      </c>
      <c r="D6" s="17">
        <f>AVERAGEIFS('1. Datos_Crudos'!$J:$J,'1. Datos_Crudos'!$B:$B,"A4 - Burbuja",'1. Datos_Crudos'!$C:$C,"Recursivo",'1. Datos_Crudos'!$D:$D,B6)</f>
        <v>3.2251199999999995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3.4093200000000001</v>
      </c>
      <c r="D7" s="14">
        <f>AVERAGEIFS('1. Datos_Crudos'!$J:$J,'1. Datos_Crudos'!$B:$B,"A4 - Burbuja",'1. Datos_Crudos'!$C:$C,"Recursivo",'1. Datos_Crudos'!$D:$D,B7)</f>
        <v>16.937559999999998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66.967659999999995</v>
      </c>
      <c r="D8" s="17">
        <f>AVERAGEIFS('1. Datos_Crudos'!$J:$J,'1. Datos_Crudos'!$B:$B,"A4 - Burbuja",'1. Datos_Crudos'!$C:$C,"Recursivo",'1. Datos_Crudos'!$D:$D,B8)</f>
        <v>76.168500000000009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342.93135999999993</v>
      </c>
      <c r="D9" s="14">
        <f>AVERAGEIFS('1. Datos_Crudos'!$J:$J,'1. Datos_Crudos'!$B:$B,"A4 - Burbuja",'1. Datos_Crudos'!$C:$C,"Recursivo",'1. Datos_Crudos'!$D:$D,B9)</f>
        <v>561.89915999999994</v>
      </c>
    </row>
    <row r="11" spans="2:4" ht="39.75" customHeight="1" x14ac:dyDescent="0.25">
      <c r="B11" s="39" t="s">
        <v>49</v>
      </c>
      <c r="C11" s="39"/>
      <c r="D11" s="39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G7" sqref="G7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142.7109375" bestFit="1" customWidth="1"/>
  </cols>
  <sheetData>
    <row r="1" spans="2:7" ht="33.75" customHeight="1" x14ac:dyDescent="0.25">
      <c r="B1" s="37" t="s">
        <v>50</v>
      </c>
      <c r="C1" s="37"/>
      <c r="D1" s="37"/>
      <c r="E1" s="37"/>
      <c r="F1" s="37"/>
      <c r="G1" s="37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25">
        <f>AVERAGE('1. Datos_Crudos'!J3:J8)</f>
        <v>4.3200000000000001E-3</v>
      </c>
      <c r="E4" s="23" t="s">
        <v>33</v>
      </c>
      <c r="F4" s="26" t="s">
        <v>65</v>
      </c>
      <c r="G4" s="44" t="s">
        <v>69</v>
      </c>
    </row>
    <row r="5" spans="2:7" ht="21.75" customHeight="1" x14ac:dyDescent="0.25">
      <c r="B5" s="27" t="s">
        <v>24</v>
      </c>
      <c r="C5" s="28" t="s">
        <v>26</v>
      </c>
      <c r="D5" s="25">
        <f>AVERAGE('1. Datos_Crudos'!J9:J14)</f>
        <v>3.4766666666666665E-3</v>
      </c>
      <c r="E5" s="27" t="s">
        <v>33</v>
      </c>
      <c r="F5" s="26" t="s">
        <v>65</v>
      </c>
      <c r="G5" s="44" t="s">
        <v>70</v>
      </c>
    </row>
    <row r="6" spans="2:7" ht="21.75" customHeight="1" x14ac:dyDescent="0.25">
      <c r="B6" s="23" t="s">
        <v>27</v>
      </c>
      <c r="C6" s="24" t="s">
        <v>25</v>
      </c>
      <c r="D6" s="25">
        <f>AVERAGE('1. Datos_Crudos'!J16:J21)</f>
        <v>5.5199999999999997E-3</v>
      </c>
      <c r="E6" s="23" t="s">
        <v>33</v>
      </c>
      <c r="F6" s="26" t="s">
        <v>66</v>
      </c>
      <c r="G6" s="44" t="s">
        <v>71</v>
      </c>
    </row>
    <row r="7" spans="2:7" ht="21.75" customHeight="1" x14ac:dyDescent="0.25">
      <c r="B7" s="27" t="s">
        <v>27</v>
      </c>
      <c r="C7" s="28" t="s">
        <v>26</v>
      </c>
      <c r="D7" s="25">
        <f>AVERAGE('1. Datos_Crudos'!J22:J27)</f>
        <v>2.2026966666666667</v>
      </c>
      <c r="E7" s="27" t="s">
        <v>55</v>
      </c>
      <c r="F7" s="26" t="s">
        <v>66</v>
      </c>
      <c r="G7" s="44" t="s">
        <v>72</v>
      </c>
    </row>
    <row r="8" spans="2:7" ht="21.75" customHeight="1" x14ac:dyDescent="0.25">
      <c r="B8" s="23" t="s">
        <v>28</v>
      </c>
      <c r="C8" s="24" t="s">
        <v>25</v>
      </c>
      <c r="D8" s="25">
        <f>AVERAGE('1. Datos_Crudos'!J29:J33)</f>
        <v>0.19331999999999999</v>
      </c>
      <c r="E8" s="23" t="s">
        <v>33</v>
      </c>
      <c r="F8" s="26" t="s">
        <v>66</v>
      </c>
      <c r="G8" s="44" t="s">
        <v>73</v>
      </c>
    </row>
    <row r="9" spans="2:7" ht="21.75" customHeight="1" x14ac:dyDescent="0.25">
      <c r="B9" s="27" t="s">
        <v>28</v>
      </c>
      <c r="C9" s="28" t="s">
        <v>26</v>
      </c>
      <c r="D9" s="25">
        <f>AVERAGE('1. Datos_Crudos'!J34:J38)</f>
        <v>0.92842800000000003</v>
      </c>
      <c r="E9" s="27" t="s">
        <v>33</v>
      </c>
      <c r="F9" s="26" t="s">
        <v>66</v>
      </c>
      <c r="G9" s="44" t="s">
        <v>74</v>
      </c>
    </row>
    <row r="10" spans="2:7" ht="21.75" customHeight="1" x14ac:dyDescent="0.25">
      <c r="B10" s="23" t="s">
        <v>29</v>
      </c>
      <c r="C10" s="24" t="s">
        <v>25</v>
      </c>
      <c r="D10" s="25">
        <f>AVERAGE('1. Datos_Crudos'!J40:J44)</f>
        <v>85.13257999999999</v>
      </c>
      <c r="E10" s="23" t="s">
        <v>45</v>
      </c>
      <c r="F10" s="26" t="s">
        <v>67</v>
      </c>
      <c r="G10" s="44" t="s">
        <v>75</v>
      </c>
    </row>
    <row r="11" spans="2:7" ht="21.75" customHeight="1" x14ac:dyDescent="0.25">
      <c r="B11" s="27" t="s">
        <v>29</v>
      </c>
      <c r="C11" s="28" t="s">
        <v>26</v>
      </c>
      <c r="D11" s="25">
        <f>AVERAGE('1. Datos_Crudos'!J45:J49)</f>
        <v>131.71379599999997</v>
      </c>
      <c r="E11" s="27" t="s">
        <v>45</v>
      </c>
      <c r="F11" s="26" t="s">
        <v>68</v>
      </c>
      <c r="G11" s="44" t="s">
        <v>76</v>
      </c>
    </row>
    <row r="14" spans="2:7" ht="7.5" customHeight="1" x14ac:dyDescent="0.25"/>
    <row r="15" spans="2:7" ht="15" customHeight="1" x14ac:dyDescent="0.25">
      <c r="B15" s="41" t="s">
        <v>56</v>
      </c>
      <c r="C15" s="41"/>
      <c r="D15" s="41"/>
      <c r="E15" s="41"/>
      <c r="F15" s="41"/>
      <c r="G15" s="41"/>
    </row>
    <row r="16" spans="2:7" ht="19.5" customHeight="1" x14ac:dyDescent="0.25">
      <c r="B16" s="3" t="s">
        <v>57</v>
      </c>
      <c r="C16" s="42" t="s">
        <v>58</v>
      </c>
      <c r="D16" s="42"/>
      <c r="E16" s="42"/>
      <c r="F16" s="42"/>
      <c r="G16" s="42"/>
    </row>
    <row r="17" spans="2:7" ht="19.5" customHeight="1" x14ac:dyDescent="0.25">
      <c r="B17" s="8" t="s">
        <v>59</v>
      </c>
      <c r="C17" s="43" t="s">
        <v>60</v>
      </c>
      <c r="D17" s="43"/>
      <c r="E17" s="43"/>
      <c r="F17" s="43"/>
      <c r="G17" s="43"/>
    </row>
    <row r="18" spans="2:7" ht="19.5" customHeight="1" x14ac:dyDescent="0.25">
      <c r="B18" s="3" t="s">
        <v>61</v>
      </c>
      <c r="C18" s="42" t="s">
        <v>62</v>
      </c>
      <c r="D18" s="42"/>
      <c r="E18" s="42"/>
      <c r="F18" s="42"/>
      <c r="G18" s="42"/>
    </row>
    <row r="19" spans="2:7" ht="19.5" customHeight="1" x14ac:dyDescent="0.25">
      <c r="B19" s="29" t="s">
        <v>63</v>
      </c>
      <c r="C19" s="40" t="s">
        <v>64</v>
      </c>
      <c r="D19" s="40"/>
      <c r="E19" s="40"/>
      <c r="F19" s="40"/>
      <c r="G19" s="40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Mariu Herrera</cp:lastModifiedBy>
  <cp:revision>1</cp:revision>
  <dcterms:created xsi:type="dcterms:W3CDTF">2026-02-20T06:55:59Z</dcterms:created>
  <dcterms:modified xsi:type="dcterms:W3CDTF">2026-03-03T16:42:04Z</dcterms:modified>
  <dc:language>en-US</dc:language>
</cp:coreProperties>
</file>